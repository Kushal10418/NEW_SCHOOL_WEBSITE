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lpi iti\Document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1" l="1"/>
  <c r="O9" i="1"/>
  <c r="O8" i="1"/>
  <c r="N9" i="1"/>
  <c r="N10" i="1"/>
  <c r="N8" i="1"/>
  <c r="L9" i="1"/>
  <c r="L10" i="1"/>
  <c r="L8" i="1"/>
  <c r="K10" i="1"/>
  <c r="K8" i="1"/>
  <c r="J10" i="1"/>
  <c r="J8" i="1"/>
  <c r="I9" i="1"/>
  <c r="J9" i="1" s="1"/>
  <c r="K9" i="1" s="1"/>
  <c r="I10" i="1"/>
  <c r="I8" i="1"/>
</calcChain>
</file>

<file path=xl/sharedStrings.xml><?xml version="1.0" encoding="utf-8"?>
<sst xmlns="http://schemas.openxmlformats.org/spreadsheetml/2006/main" count="19" uniqueCount="15">
  <si>
    <t>Kushal Bera</t>
  </si>
  <si>
    <t>Koushik Bera</t>
  </si>
  <si>
    <t>BENG</t>
  </si>
  <si>
    <t>NAME</t>
  </si>
  <si>
    <t>ENG</t>
  </si>
  <si>
    <t>HIST</t>
  </si>
  <si>
    <t>HMFR</t>
  </si>
  <si>
    <t>TOTAL</t>
  </si>
  <si>
    <t>PESANTAGE</t>
  </si>
  <si>
    <t>GRADE</t>
  </si>
  <si>
    <t>STUDENT RANK</t>
  </si>
  <si>
    <t>ATTENDANCE BASED REMARK</t>
  </si>
  <si>
    <t>REMARK</t>
  </si>
  <si>
    <t>TOOPERS</t>
  </si>
  <si>
    <t>APARNA BERA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</si>
</sst>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7:P11"/>
  <sheetViews>
    <sheetView tabSelected="1" workbookViewId="0">
      <selection activeCell="D12" sqref="D12"/>
    </sheetView>
  </sheetViews>
  <sheetFormatPr defaultRowHeight="15" x14ac:dyDescent="0.25"/>
  <cols>
    <col min="4" max="4" width="18.85546875" customWidth="1"/>
    <col min="5" max="5" width="15.140625" customWidth="1"/>
    <col min="6" max="6" width="17.28515625" customWidth="1"/>
    <col min="7" max="7" width="14.28515625" customWidth="1"/>
    <col min="8" max="8" width="16.7109375" customWidth="1"/>
    <col min="9" max="9" width="15.140625" customWidth="1"/>
    <col min="10" max="10" width="15.7109375" customWidth="1"/>
    <col min="11" max="11" width="16.28515625" customWidth="1"/>
    <col min="12" max="12" width="22.85546875" customWidth="1"/>
    <col min="13" max="13" width="27.42578125" bestFit="1" customWidth="1"/>
    <col min="14" max="14" width="14.7109375" bestFit="1" customWidth="1"/>
    <col min="15" max="15" width="16.28515625" customWidth="1"/>
    <col min="16" max="16" width="17.42578125" customWidth="1"/>
  </cols>
  <sheetData>
    <row r="7" spans="4:16" x14ac:dyDescent="0.25">
      <c r="D7" s="3" t="s">
        <v>3</v>
      </c>
      <c r="E7" s="3" t="s">
        <v>2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5</v>
      </c>
    </row>
    <row r="8" spans="4:16" x14ac:dyDescent="0.25">
      <c r="D8" s="4" t="s">
        <v>0</v>
      </c>
      <c r="E8" s="1">
        <v>76</v>
      </c>
      <c r="F8" s="1">
        <v>74</v>
      </c>
      <c r="G8" s="1">
        <v>86</v>
      </c>
      <c r="H8" s="1">
        <v>87</v>
      </c>
      <c r="I8" s="1">
        <f>SUM(E8:H8)</f>
        <v>323</v>
      </c>
      <c r="J8" s="1">
        <f>I8/400*100</f>
        <v>80.75</v>
      </c>
      <c r="K8" s="1" t="str">
        <f>IF(J8&gt;=80,"A++",IF(J8&gt;=70,"A", IF(J8&gt;=60,"PASS","FAIL")))</f>
        <v>A++</v>
      </c>
      <c r="L8" s="1">
        <f>_xlfn.RANK.EQ(I8,$I$8:$I$10,0)</f>
        <v>1</v>
      </c>
      <c r="M8" s="1">
        <v>98</v>
      </c>
      <c r="N8" s="1" t="str">
        <f>IF(M8&lt;=75,"LOW ATTENDES","GOOD")</f>
        <v>GOOD</v>
      </c>
      <c r="O8" s="1" t="str">
        <f>INDEX(D8:D10,MATCH(MAX(H8:H10),H8:H10,0))</f>
        <v>Kushal Bera</v>
      </c>
      <c r="P8" s="1" t="s">
        <v>4</v>
      </c>
    </row>
    <row r="9" spans="4:16" x14ac:dyDescent="0.25">
      <c r="D9" s="4" t="s">
        <v>1</v>
      </c>
      <c r="E9" s="1">
        <v>78</v>
      </c>
      <c r="F9" s="1">
        <v>86</v>
      </c>
      <c r="G9" s="1">
        <v>40</v>
      </c>
      <c r="H9" s="1">
        <v>36</v>
      </c>
      <c r="I9" s="1">
        <f t="shared" ref="I9:I10" si="0">SUM(E9:H9)</f>
        <v>240</v>
      </c>
      <c r="J9" s="1">
        <f t="shared" ref="J9:J10" si="1">I9/400*100</f>
        <v>60</v>
      </c>
      <c r="K9" s="1" t="str">
        <f t="shared" ref="K9:K10" si="2">IF(J9&gt;=80,"A++",IF(J9&gt;=70,"A", IF(J9&gt;=60,"PASS","FAIL")))</f>
        <v>PASS</v>
      </c>
      <c r="L9" s="1">
        <f t="shared" ref="L9:L10" si="3">_xlfn.RANK.EQ(I9,$I$8:$I$10,0)</f>
        <v>3</v>
      </c>
      <c r="M9" s="1">
        <v>90</v>
      </c>
      <c r="N9" s="1" t="str">
        <f t="shared" ref="N9:N10" si="4">IF(M9&lt;=75,"LOW ATTENDES","GOOD")</f>
        <v>GOOD</v>
      </c>
      <c r="O9" s="1" t="str">
        <f>INDEX(D9:D11,MATCH(MAX(H9:H11),H9:H11,0))</f>
        <v>APARNA BERA</v>
      </c>
      <c r="P9" s="1" t="s">
        <v>6</v>
      </c>
    </row>
    <row r="10" spans="4:16" x14ac:dyDescent="0.25">
      <c r="D10" s="4" t="s">
        <v>14</v>
      </c>
      <c r="E10" s="1">
        <v>88</v>
      </c>
      <c r="F10" s="1">
        <v>68</v>
      </c>
      <c r="G10" s="1">
        <v>84</v>
      </c>
      <c r="H10" s="1">
        <v>82</v>
      </c>
      <c r="I10" s="1">
        <f t="shared" si="0"/>
        <v>322</v>
      </c>
      <c r="J10" s="1">
        <f t="shared" si="1"/>
        <v>80.5</v>
      </c>
      <c r="K10" s="1" t="str">
        <f t="shared" si="2"/>
        <v>A++</v>
      </c>
      <c r="L10" s="1">
        <f t="shared" si="3"/>
        <v>2</v>
      </c>
      <c r="M10" s="1">
        <v>76</v>
      </c>
      <c r="N10" s="1" t="str">
        <f t="shared" si="4"/>
        <v>GOOD</v>
      </c>
      <c r="O10" s="1" t="str">
        <f>INDEX(D10:D12,MATCH(MAX(H10:H12),H10:H12,0))</f>
        <v>APARNA BERA</v>
      </c>
      <c r="P10" s="1" t="s">
        <v>2</v>
      </c>
    </row>
    <row r="11" spans="4:16" x14ac:dyDescent="0.25"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dataValidations count="2">
    <dataValidation type="whole" allowBlank="1" showInputMessage="1" showErrorMessage="1" sqref="O9 M8">
      <formula1>0</formula1>
      <formula2>100</formula2>
    </dataValidation>
    <dataValidation type="list" allowBlank="1" showInputMessage="1" showErrorMessage="1" sqref="J15:J21 P7:P11">
      <formula1>$E$7:$H$7</formula1>
    </dataValidation>
  </dataValidations>
  <pageMargins left="0.7" right="0.7" top="0.75" bottom="0.75" header="0.3" footer="0.3"/>
  <pageSetup orientation="portrait" r:id="rId1"/>
  <ignoredErrors>
    <ignoredError sqref="O9:O1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kulpi iti</dc:creator>
  <cp:lastModifiedBy>kulpi iti</cp:lastModifiedBy>
  <dcterms:created xsi:type="dcterms:W3CDTF">2025-03-07T17:36:25Z</dcterms:created>
  <dcterms:modified xsi:type="dcterms:W3CDTF">2025-05-09T03:22:24Z</dcterms:modified>
</cp:coreProperties>
</file>